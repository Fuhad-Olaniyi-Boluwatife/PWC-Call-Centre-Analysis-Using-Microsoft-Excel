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13_ncr:1_{5D933EBE-5B6B-4CF7-9132-BA329691C36D}" xr6:coauthVersionLast="47" xr6:coauthVersionMax="47" xr10:uidLastSave="{00000000-0000-0000-0000-000000000000}"/>
  <bookViews>
    <workbookView xWindow="-98" yWindow="-98" windowWidth="19396" windowHeight="10996" firstSheet="1" activeTab="2" xr2:uid="{00000000-000D-0000-FFFF-FFFF00000000}"/>
  </bookViews>
  <sheets>
    <sheet name="Power_Query" sheetId="2" state="hidden" r:id="rId1"/>
    <sheet name="Raw_data" sheetId="1" r:id="rId2"/>
    <sheet name="Dashboard" sheetId="3" r:id="rId3"/>
    <sheet name="Analysis" sheetId="4"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1" i="4" l="1"/>
  <c r="H16" i="4"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<sst xmlns="http://schemas.openxmlformats.org/spreadsheetml/2006/main" count="70259" uniqueCount="5177">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</sst>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0.89688715953307396</c:v>
                </c:pt>
                <c:pt idx="1">
                  <c:v>0.10311284046692604</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83</c:v>
                </c:pt>
                <c:pt idx="1">
                  <c:v>98</c:v>
                </c:pt>
                <c:pt idx="2">
                  <c:v>99</c:v>
                </c:pt>
                <c:pt idx="3">
                  <c:v>87</c:v>
                </c:pt>
                <c:pt idx="4">
                  <c:v>94</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9</c:v>
                </c:pt>
                <c:pt idx="1">
                  <c:v>9</c:v>
                </c:pt>
                <c:pt idx="2">
                  <c:v>9</c:v>
                </c:pt>
                <c:pt idx="3">
                  <c:v>18</c:v>
                </c:pt>
                <c:pt idx="4">
                  <c:v>8</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72</c:v>
                </c:pt>
                <c:pt idx="1">
                  <c:v>102</c:v>
                </c:pt>
                <c:pt idx="2">
                  <c:v>78</c:v>
                </c:pt>
                <c:pt idx="3">
                  <c:v>101</c:v>
                </c:pt>
                <c:pt idx="4">
                  <c:v>83</c:v>
                </c:pt>
                <c:pt idx="5">
                  <c:v>90</c:v>
                </c:pt>
                <c:pt idx="6">
                  <c:v>112</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#N/A</c:v>
                </c:pt>
                <c:pt idx="4">
                  <c:v>#N/A</c:v>
                </c:pt>
                <c:pt idx="5">
                  <c:v>#N/A</c:v>
                </c:pt>
                <c:pt idx="6">
                  <c:v>112</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72</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638</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7" val="3"/>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28</xdr:row>
      <xdr:rowOff>82577</xdr:rowOff>
    </xdr:from>
    <xdr:to>
      <xdr:col>13</xdr:col>
      <xdr:colOff>386122</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07330"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13</xdr:row>
      <xdr:rowOff>120650</xdr:rowOff>
    </xdr:from>
    <xdr:to>
      <xdr:col>25</xdr:col>
      <xdr:colOff>35719</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07330"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89.69%</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21197" y="3706650"/>
          <a:ext cx="1422963" cy="687433"/>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124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0577" y="3728986"/>
          <a:ext cx="1375015" cy="705831"/>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514</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12067" y="5517821"/>
          <a:ext cx="3711365" cy="455097"/>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30</xdr:row>
      <xdr:rowOff>176356</xdr:rowOff>
    </xdr:from>
    <xdr:to>
      <xdr:col>13</xdr:col>
      <xdr:colOff>395377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56232" y="7517132"/>
          <a:ext cx="1094802" cy="220203"/>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18</xdr:row>
      <xdr:rowOff>5187</xdr:rowOff>
    </xdr:from>
    <xdr:to>
      <xdr:col>17</xdr:col>
      <xdr:colOff>397962</xdr:colOff>
      <xdr:row>19</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178950</xdr:rowOff>
    </xdr:from>
    <xdr:to>
      <xdr:col>18</xdr:col>
      <xdr:colOff>534884</xdr:colOff>
      <xdr:row>19</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19</xdr:row>
      <xdr:rowOff>133776</xdr:rowOff>
    </xdr:from>
    <xdr:to>
      <xdr:col>19</xdr:col>
      <xdr:colOff>336148</xdr:colOff>
      <xdr:row>21</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32446" y="3830045"/>
          <a:ext cx="1793796" cy="272135"/>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22</xdr:row>
      <xdr:rowOff>86375</xdr:rowOff>
    </xdr:from>
    <xdr:to>
      <xdr:col>19</xdr:col>
      <xdr:colOff>312336</xdr:colOff>
      <xdr:row>24</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32446" y="4315760"/>
          <a:ext cx="1769984" cy="272136"/>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25</xdr:row>
      <xdr:rowOff>38975</xdr:rowOff>
    </xdr:from>
    <xdr:to>
      <xdr:col>19</xdr:col>
      <xdr:colOff>318289</xdr:colOff>
      <xdr:row>26</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32446" y="4801475"/>
          <a:ext cx="1775937" cy="274148"/>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16</xdr:row>
      <xdr:rowOff>100662</xdr:rowOff>
    </xdr:from>
    <xdr:to>
      <xdr:col>22</xdr:col>
      <xdr:colOff>34593</xdr:colOff>
      <xdr:row>18</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19</xdr:row>
      <xdr:rowOff>142761</xdr:rowOff>
    </xdr:from>
    <xdr:to>
      <xdr:col>21</xdr:col>
      <xdr:colOff>48411</xdr:colOff>
      <xdr:row>21</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22</xdr:row>
      <xdr:rowOff>115803</xdr:rowOff>
    </xdr:from>
    <xdr:to>
      <xdr:col>21</xdr:col>
      <xdr:colOff>48411</xdr:colOff>
      <xdr:row>24</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25</xdr:row>
      <xdr:rowOff>88845</xdr:rowOff>
    </xdr:from>
    <xdr:to>
      <xdr:col>21</xdr:col>
      <xdr:colOff>48411</xdr:colOff>
      <xdr:row>26</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12067" y="6092455"/>
          <a:ext cx="3711365" cy="449630"/>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12067" y="6667090"/>
          <a:ext cx="3711365" cy="44963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12067" y="7241726"/>
          <a:ext cx="3711365" cy="449629"/>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69.49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223.73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171.33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30323" y="899675"/>
              <a:ext cx="2718123" cy="4301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6" totalsRowDxfId="25"/>
    <tableColumn id="4" xr3:uid="{90BF02E8-4508-4759-922D-C9F4AE071CE0}" uniqueName="4" name="Time" queryTableFieldId="4" dataDxfId="24" totalsRowDxfId="23"/>
    <tableColumn id="5" xr3:uid="{3E88FF3C-BBC0-4229-88F8-965117DC05D5}" uniqueName="5" name="Topic" queryTableFieldId="5" dataDxfId="22"/>
    <tableColumn id="6" xr3:uid="{F878FFBD-F327-4874-8CE9-E5057737B88E}" uniqueName="6" name="Answered (Y/N)" queryTableFieldId="6" dataDxfId="21"/>
    <tableColumn id="7" xr3:uid="{6C6C15EF-CD56-4A27-80DE-E3C8049A55DB}" uniqueName="7" name="Resolved" queryTableFieldId="7" dataDxfId="20"/>
    <tableColumn id="8" xr3:uid="{4050E527-689D-4A60-A256-17219EE7349E}" uniqueName="8" name="Speed of answer in seconds" queryTableFieldId="8" totalsRowDxfId="19"/>
    <tableColumn id="9" xr3:uid="{4DBC125A-E651-4DBB-AB38-FB060CD70455}" uniqueName="9" name="AvgTalkDuration" queryTableFieldId="9" dataDxfId="18" totalsRowDxfId="17"/>
    <tableColumn id="10" xr3:uid="{87F20EC2-39A7-4776-954F-E5796A237446}" uniqueName="10" name="Satisfaction rating" queryTableFieldId="10"/>
    <tableColumn id="11" xr3:uid="{528F1268-EAC8-42D0-88E9-ABE7B05D0200}" uniqueName="11" name="Days of the week" queryTableFieldId="11" dataDxfId="16"/>
    <tableColumn id="12" xr3:uid="{1567CFAD-DDFB-46AC-899C-DCFDF371E708}" uniqueName="12" name="Period of the day" queryTableFieldId="12" data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7" zoomScaleNormal="67" workbookViewId="0">
      <selection activeCell="AA25" sqref="AA25"/>
    </sheetView>
  </sheetViews>
  <sheetFormatPr defaultRowHeight="14.25" x14ac:dyDescent="0.45"/>
  <cols>
    <col min="1" max="1" width="9.06640625" style="5"/>
    <col min="2" max="2" width="9.06640625" style="5" customWidth="1"/>
    <col min="3" max="16384" width="9.06640625" style="5"/>
  </cols>
  <sheetData>
    <row r="1" ht="39.4" customHeight="1" x14ac:dyDescent="0.45"/>
  </sheetData>
  <sheetProtection algorithmName="SHA-512" hashValue="QY7beuGxw45wTmvBIi+bAtaTxJXnpmvHnTMAPAEcpGb1iKWtAOLhGmFw+cZDH9zGD3CE2vzCr3vAE3+FrIM2Jw==" saltValue="JwnNPjkX70EeRSxxivv6Ig=="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N1" zoomScale="64" zoomScaleNormal="64" workbookViewId="0">
      <selection activeCell="V7" sqref="V7"/>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Martha</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7</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101</v>
      </c>
      <c r="CL11" cm="1">
        <f t="array" ref="CL11:CL13">INDEX($CA$8:$CH$10,,$CK$7)</f>
        <v>14</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194</v>
      </c>
      <c r="CL12">
        <v>24</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166</v>
      </c>
      <c r="CL13">
        <v>15</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Martha</v>
      </c>
      <c r="CJ16" t="str" cm="1">
        <f t="array" ref="CJ16:CL18">_xlfn.SORTBY(CJ11:CL13,_xlfn.SWITCH(_xlfn.ANCHORARRAY(CJ11),"morning",1,"afternoon",2,"evening",3))</f>
        <v>Morning</v>
      </c>
      <c r="CK16">
        <v>166</v>
      </c>
      <c r="CL16">
        <v>15</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Martha</v>
      </c>
      <c r="AK17" s="7" t="s">
        <v>13</v>
      </c>
      <c r="AL17" s="8">
        <v>9</v>
      </c>
      <c r="AM17" s="8">
        <v>10</v>
      </c>
      <c r="AN17" s="8">
        <v>10</v>
      </c>
      <c r="AO17" s="8">
        <v>7</v>
      </c>
      <c r="AP17" s="8">
        <v>11</v>
      </c>
      <c r="AQ17" s="8">
        <v>9</v>
      </c>
      <c r="AR17" s="8">
        <v>9</v>
      </c>
      <c r="AS17" s="8">
        <v>15</v>
      </c>
      <c r="BL17" t="s">
        <v>5147</v>
      </c>
      <c r="BM17">
        <f>MATCH($BM$16,$BM$8:$BT$8,0)</f>
        <v>7</v>
      </c>
      <c r="BZ17" s="6" t="s">
        <v>5122</v>
      </c>
      <c r="CA17" s="6" t="s">
        <v>5126</v>
      </c>
      <c r="CJ17" t="str">
        <v>Afternoon</v>
      </c>
      <c r="CK17">
        <v>101</v>
      </c>
      <c r="CL17">
        <v>14</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6">
        <f>_xlfn.XLOOKUP($AD$17,$AC$6:$AC$13,AD6:AD13,"Not available")</f>
        <v>69.488326848249031</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194</v>
      </c>
      <c r="CL18">
        <v>24</v>
      </c>
      <c r="CQ18" s="7" t="s">
        <v>5146</v>
      </c>
      <c r="CR18" t="str">
        <f>selected_agent</f>
        <v>Martha</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223.72568093385215</v>
      </c>
      <c r="AK19" s="7" t="s">
        <v>32</v>
      </c>
      <c r="AL19" s="8">
        <v>14</v>
      </c>
      <c r="AM19" s="8">
        <v>13</v>
      </c>
      <c r="AN19" s="8">
        <v>12</v>
      </c>
      <c r="AO19" s="8">
        <v>11</v>
      </c>
      <c r="AP19" s="8">
        <v>11</v>
      </c>
      <c r="AQ19" s="8">
        <v>13</v>
      </c>
      <c r="AR19" s="8">
        <v>18</v>
      </c>
      <c r="AS19" s="8">
        <v>6</v>
      </c>
      <c r="AY19" t="s">
        <v>5146</v>
      </c>
      <c r="AZ19" t="str">
        <f>selected_agent</f>
        <v>Martha</v>
      </c>
      <c r="BZ19" s="7" t="s">
        <v>5119</v>
      </c>
      <c r="CA19" s="8">
        <v>99</v>
      </c>
      <c r="CB19" s="8">
        <v>108</v>
      </c>
      <c r="CC19" s="8">
        <v>97</v>
      </c>
      <c r="CD19" s="8">
        <v>105</v>
      </c>
      <c r="CE19" s="8">
        <v>102</v>
      </c>
      <c r="CF19" s="8">
        <v>105</v>
      </c>
      <c r="CG19" s="8">
        <v>101</v>
      </c>
      <c r="CH19" s="8">
        <v>109</v>
      </c>
      <c r="CQ19" s="7" t="s">
        <v>5176</v>
      </c>
      <c r="CR19">
        <f>MATCH($CR$18,CQ9:CQ16,0)</f>
        <v>7</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3.4708171206225682</v>
      </c>
      <c r="AK20" s="7" t="s">
        <v>17</v>
      </c>
      <c r="AL20" s="8">
        <v>9</v>
      </c>
      <c r="AM20" s="8">
        <v>9</v>
      </c>
      <c r="AN20" s="8">
        <v>10</v>
      </c>
      <c r="AO20" s="8">
        <v>11</v>
      </c>
      <c r="AP20" s="8">
        <v>6</v>
      </c>
      <c r="AQ20" s="8">
        <v>11</v>
      </c>
      <c r="AR20" s="8">
        <v>8</v>
      </c>
      <c r="AS20" s="8">
        <v>5</v>
      </c>
      <c r="AY20" t="s">
        <v>5147</v>
      </c>
      <c r="AZ20">
        <f>MATCH($AZ$19,$AZ$8:$BG$8,0)</f>
        <v>7</v>
      </c>
      <c r="BL20" t="str" cm="1">
        <f t="array" ref="BL20:BL22">BL9:BL11</f>
        <v>Afternoon</v>
      </c>
      <c r="BM20" cm="1">
        <f t="array" ref="BM20:BM22">INDEX(BM9:BT11,,$BM$17)</f>
        <v>28</v>
      </c>
      <c r="BZ20" s="7" t="s">
        <v>5120</v>
      </c>
      <c r="CA20" s="8">
        <v>209</v>
      </c>
      <c r="CB20" s="8">
        <v>208</v>
      </c>
      <c r="CC20" s="8">
        <v>199</v>
      </c>
      <c r="CD20" s="8">
        <v>193</v>
      </c>
      <c r="CE20" s="8">
        <v>219</v>
      </c>
      <c r="CF20" s="8">
        <v>192</v>
      </c>
      <c r="CG20" s="8">
        <v>194</v>
      </c>
      <c r="CH20" s="8">
        <v>179</v>
      </c>
      <c r="CR20" s="17">
        <f>(_xlfn.XLOOKUP(CR18,CQ9:CQ16,CR9:CR16))</f>
        <v>514</v>
      </c>
    </row>
    <row r="21" spans="2:96" x14ac:dyDescent="0.45">
      <c r="H21" t="str">
        <v>Joe</v>
      </c>
      <c r="I21">
        <v>593</v>
      </c>
      <c r="J21" t="e">
        <f t="shared" si="0"/>
        <v>#N/A</v>
      </c>
      <c r="N21" t="str">
        <v>Jim</v>
      </c>
      <c r="O21">
        <v>130</v>
      </c>
      <c r="P21">
        <v>536</v>
      </c>
      <c r="U21" t="str">
        <v>Greg</v>
      </c>
      <c r="V21">
        <v>47</v>
      </c>
      <c r="W21">
        <v>455</v>
      </c>
      <c r="X21">
        <v>502</v>
      </c>
      <c r="BL21" t="str">
        <v>Evening</v>
      </c>
      <c r="BM21">
        <v>51</v>
      </c>
      <c r="BZ21" s="7" t="s">
        <v>5118</v>
      </c>
      <c r="CA21" s="8">
        <v>154</v>
      </c>
      <c r="CB21" s="8">
        <v>155</v>
      </c>
      <c r="CC21" s="8">
        <v>156</v>
      </c>
      <c r="CD21" s="8">
        <v>157</v>
      </c>
      <c r="CE21" s="8">
        <v>164</v>
      </c>
      <c r="CF21" s="8">
        <v>139</v>
      </c>
      <c r="CG21" s="8">
        <v>166</v>
      </c>
      <c r="CH21" s="8">
        <v>136</v>
      </c>
      <c r="CQ21" s="7" t="s">
        <v>5175</v>
      </c>
      <c r="CR21" s="17">
        <f>$CR$20/3</f>
        <v>171.33333333333334</v>
      </c>
    </row>
    <row r="22" spans="2:96" x14ac:dyDescent="0.45">
      <c r="B22" t="str" cm="1">
        <f t="array" ref="B22:C24">B16:C18</f>
        <v>Row Labels</v>
      </c>
      <c r="C22" t="str">
        <v>Y</v>
      </c>
      <c r="H22" t="str">
        <v>Martha</v>
      </c>
      <c r="I22">
        <v>638</v>
      </c>
      <c r="J22">
        <f t="shared" si="0"/>
        <v>638</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45</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72</v>
      </c>
      <c r="BA23" t="e">
        <f>IF(AZ23=MAX(_xlfn.ANCHORARRAY($AZ$23)),$AZ23,NA())</f>
        <v>#N/A</v>
      </c>
      <c r="BB23">
        <f>IF(AZ23=MIN(_xlfn.ANCHORARRAY($AZ$23)),$AZ23,NA())</f>
        <v>72</v>
      </c>
    </row>
    <row r="24" spans="2:96" x14ac:dyDescent="0.45">
      <c r="B24" t="str">
        <v>Y</v>
      </c>
      <c r="C24" s="8">
        <v>3646</v>
      </c>
      <c r="N24" t="str">
        <v>Stewart</v>
      </c>
      <c r="O24">
        <v>105</v>
      </c>
      <c r="P24">
        <v>477</v>
      </c>
      <c r="U24" t="str">
        <v>Martha</v>
      </c>
      <c r="V24">
        <v>53</v>
      </c>
      <c r="W24">
        <v>461</v>
      </c>
      <c r="X24">
        <v>514</v>
      </c>
      <c r="AK24" t="s">
        <v>5146</v>
      </c>
      <c r="AL24" t="str">
        <f>selected_agent</f>
        <v>Martha</v>
      </c>
      <c r="AY24" t="str">
        <v>Sat</v>
      </c>
      <c r="AZ24">
        <v>102</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7</v>
      </c>
      <c r="AY25" t="str">
        <v>Sun</v>
      </c>
      <c r="AZ25">
        <v>78</v>
      </c>
      <c r="BA25" t="e">
        <f t="shared" si="1"/>
        <v>#N/A</v>
      </c>
      <c r="BB25" t="e">
        <f t="shared" si="2"/>
        <v>#N/A</v>
      </c>
      <c r="BL25" t="str" cm="1">
        <f t="array" ref="BL25:BM27">_xlfn.SORTBY(BL20:BM22,_xlfn.SWITCH(_xlfn.ANCHORARRAY(BL20),"morning",1,"afternoon",2,"evening",3))</f>
        <v>Morning</v>
      </c>
      <c r="BM25">
        <v>45</v>
      </c>
    </row>
    <row r="26" spans="2:96" x14ac:dyDescent="0.45">
      <c r="G26" s="12" t="s">
        <v>5130</v>
      </c>
      <c r="H26" s="12">
        <v>7</v>
      </c>
      <c r="AY26" t="str">
        <v>Mon</v>
      </c>
      <c r="AZ26">
        <v>101</v>
      </c>
      <c r="BA26" t="e">
        <f t="shared" si="1"/>
        <v>#N/A</v>
      </c>
      <c r="BB26" t="e">
        <f t="shared" si="2"/>
        <v>#N/A</v>
      </c>
      <c r="BL26" t="str">
        <v>Afternoon</v>
      </c>
      <c r="BM26">
        <v>28</v>
      </c>
    </row>
    <row r="27" spans="2:96" x14ac:dyDescent="0.45">
      <c r="G27" s="12" t="s">
        <v>1</v>
      </c>
      <c r="H27" s="12" t="str" cm="1">
        <f t="array" ref="H27">INDEX($H$16:$H$23,$H$26)</f>
        <v>Martha</v>
      </c>
      <c r="AL27" t="s">
        <v>5153</v>
      </c>
      <c r="AM27" t="s">
        <v>5154</v>
      </c>
      <c r="AY27" t="str">
        <v>Tue</v>
      </c>
      <c r="AZ27">
        <v>83</v>
      </c>
      <c r="BA27" t="e">
        <f t="shared" si="1"/>
        <v>#N/A</v>
      </c>
      <c r="BB27" t="e">
        <f t="shared" si="2"/>
        <v>#N/A</v>
      </c>
      <c r="BL27" t="str">
        <v>Evening</v>
      </c>
      <c r="BM27">
        <v>51</v>
      </c>
    </row>
    <row r="28" spans="2:96" x14ac:dyDescent="0.45">
      <c r="G28" s="12" t="s">
        <v>5129</v>
      </c>
      <c r="H28" s="12" cm="1">
        <f t="array" ref="H28">INDEX($I$16:$I$23,$H$26)</f>
        <v>638</v>
      </c>
      <c r="N28" t="s">
        <v>5134</v>
      </c>
      <c r="O28" t="str">
        <f>selected_agent</f>
        <v>Martha</v>
      </c>
      <c r="U28" t="s">
        <v>5136</v>
      </c>
      <c r="V28" t="str">
        <f>selected_agent</f>
        <v>Martha</v>
      </c>
      <c r="AK28" t="str" cm="1">
        <f t="array" ref="AK28:AK32">AK6:AK10</f>
        <v>Admin Support</v>
      </c>
      <c r="AL28" cm="1">
        <f t="array" ref="AL28:AL32">INDEX($AL$6:$AS$10,,$AL$25)</f>
        <v>83</v>
      </c>
      <c r="AM28" cm="1">
        <f t="array" ref="AM28:AM32">INDEX($AL$16:$AS$20,,$AL$25)</f>
        <v>9</v>
      </c>
      <c r="AY28" t="str">
        <v>Wed</v>
      </c>
      <c r="AZ28">
        <v>90</v>
      </c>
      <c r="BA28" t="e">
        <f t="shared" si="1"/>
        <v>#N/A</v>
      </c>
      <c r="BB28" t="e">
        <f t="shared" si="2"/>
        <v>#N/A</v>
      </c>
    </row>
    <row r="29" spans="2:96" x14ac:dyDescent="0.45">
      <c r="N29" t="s">
        <v>5132</v>
      </c>
      <c r="O29">
        <f>_xlfn.XLOOKUP($O$28,$N$17:$N$24,P17:P24,"Not Available")</f>
        <v>514</v>
      </c>
      <c r="U29" t="s">
        <v>5137</v>
      </c>
      <c r="V29">
        <f>_xlfn.XLOOKUP($V$28,$U$18:$U$25,$W$18:$W$25,"Not available")</f>
        <v>461</v>
      </c>
      <c r="AK29" t="str">
        <v>Contract related</v>
      </c>
      <c r="AL29">
        <v>98</v>
      </c>
      <c r="AM29">
        <v>9</v>
      </c>
      <c r="AY29" t="str">
        <v>Thu</v>
      </c>
      <c r="AZ29">
        <v>112</v>
      </c>
      <c r="BA29">
        <f t="shared" si="1"/>
        <v>112</v>
      </c>
      <c r="BB29" t="e">
        <f t="shared" si="2"/>
        <v>#N/A</v>
      </c>
    </row>
    <row r="30" spans="2:96" x14ac:dyDescent="0.45">
      <c r="N30" t="s">
        <v>5133</v>
      </c>
      <c r="O30">
        <f>_xlfn.XLOOKUP($O$28,N17:N24,O17:O24,"Not availble")</f>
        <v>124</v>
      </c>
      <c r="U30" t="s">
        <v>5138</v>
      </c>
      <c r="V30">
        <f>_xlfn.XLOOKUP($V$28,$U$18:$U$25,$V$18:$V$25,"Not available")</f>
        <v>53</v>
      </c>
      <c r="AK30" t="str">
        <v>Payment related</v>
      </c>
      <c r="AL30">
        <v>99</v>
      </c>
      <c r="AM30">
        <v>9</v>
      </c>
    </row>
    <row r="31" spans="2:96" x14ac:dyDescent="0.45">
      <c r="N31" t="s">
        <v>5142</v>
      </c>
      <c r="O31" t="str">
        <f>O28 &amp; " Call Outcome"</f>
        <v>Martha Call Outcome</v>
      </c>
      <c r="U31" t="s">
        <v>5139</v>
      </c>
      <c r="V31">
        <f>_xlfn.XLOOKUP($V$28,$U$18:$U$25,$X$18:$X$25,"Not Avaliable")</f>
        <v>514</v>
      </c>
      <c r="AK31" t="str">
        <v>Streaming</v>
      </c>
      <c r="AL31">
        <v>87</v>
      </c>
      <c r="AM31">
        <v>18</v>
      </c>
    </row>
    <row r="32" spans="2:96" x14ac:dyDescent="0.45">
      <c r="G32" t="str" cm="1">
        <f t="array" ref="G32:I39">_xlfn._xlws.SORT(H16:J23,2,1)</f>
        <v>Stewart</v>
      </c>
      <c r="H32">
        <v>582</v>
      </c>
      <c r="I32" t="e">
        <v>#N/A</v>
      </c>
      <c r="U32" t="s">
        <v>5140</v>
      </c>
      <c r="V32" s="14">
        <f>$V$29/$V$31</f>
        <v>0.89688715953307396</v>
      </c>
      <c r="AK32" t="str">
        <v>Technical Support</v>
      </c>
      <c r="AL32">
        <v>94</v>
      </c>
      <c r="AM32">
        <v>8</v>
      </c>
      <c r="AY32" t="s">
        <v>5170</v>
      </c>
      <c r="AZ32" t="str">
        <f>$AZ$19 &amp;" Daily call Trend"</f>
        <v>Martha Daily call Trend</v>
      </c>
    </row>
    <row r="33" spans="7:38" x14ac:dyDescent="0.45">
      <c r="G33" t="str">
        <v>Joe</v>
      </c>
      <c r="H33">
        <v>593</v>
      </c>
      <c r="I33" t="e">
        <v>#N/A</v>
      </c>
      <c r="U33" t="s">
        <v>5141</v>
      </c>
      <c r="V33" s="13">
        <f>100%-$V$32</f>
        <v>0.10311284046692604</v>
      </c>
    </row>
    <row r="34" spans="7:38" x14ac:dyDescent="0.45">
      <c r="G34" t="str">
        <v>Greg</v>
      </c>
      <c r="H34">
        <v>624</v>
      </c>
      <c r="I34" t="e">
        <v>#N/A</v>
      </c>
    </row>
    <row r="35" spans="7:38" x14ac:dyDescent="0.45">
      <c r="G35" t="str">
        <v>Becky</v>
      </c>
      <c r="H35">
        <v>631</v>
      </c>
      <c r="I35" t="e">
        <v>#N/A</v>
      </c>
      <c r="AK35" t="s">
        <v>5142</v>
      </c>
      <c r="AL35" t="str">
        <f>$AL$24 &amp; " call discussion with customer"</f>
        <v>Martha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v>638</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2025-05-11T04:51:09Z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